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Sheet!$A$1:$E$2592</definedName>
  </definedNames>
  <calcPr fullCalcOnLoad="1"/>
</workbook>
</file>

<file path=xl/sharedStrings.xml><?xml version="1.0" encoding="utf-8"?>
<sst xmlns="http://schemas.openxmlformats.org/spreadsheetml/2006/main">
  <si>
    <t>Drug Name</t>
  </si>
  <si>
    <t>Quantity</t>
  </si>
  <si>
    <t>English Tariff</t>
  </si>
  <si>
    <t>Total</t>
  </si>
  <si>
    <t>Status</t>
  </si>
  <si>
    <t>Location: BDRowa (Tariff Total: £30.07)</t>
  </si>
  <si>
    <t>Amlodipine 5mg tablets (Accord-UK Ltd) 28 tablet 2 x 14 tablets</t>
  </si>
  <si>
    <t>In Stock</t>
  </si>
  <si>
    <t>Losartan 100MG tablets (Medreich) [DPS=28]</t>
  </si>
  <si>
    <t>Metformin 500mg modified-release tablets (Strides Pharma UK Ltd) 56 tablet</t>
  </si>
  <si>
    <t>Location: Manual (Tariff Total: £3.78)</t>
  </si>
  <si>
    <t>AacuLose Hypromellose 0.3% eye drops (TriOn Pharma Ltd) 10 ml</t>
  </si>
  <si>
    <t>Location: On Order (Tariff Total: £1.76)</t>
  </si>
</sst>
</file>

<file path=xl/styles.xml><?xml version="1.0" encoding="utf-8"?>
<styleSheet xmlns="http://schemas.openxmlformats.org/spreadsheetml/2006/main">
  <numFmts count="2">
    <numFmt numFmtId="164" formatCode="&quot;£&quot;#,##0.00"/>
    <numFmt numFmtId="165" formatCode="[$£-0809]#,##0.00;-[$£-0809]#,##0.00;[$£-0809]#,##0.00;@"/>
  </numFmts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Font="1" applyAlignment="1">
      <alignment vertical="center"/>
    </xf>
    <xf numFmtId="3" fontId="0" fillId="0" borderId="1" xfId="0" applyNumberFormat="1" applyFont="1" applyAlignment="1">
      <alignment vertical="center"/>
    </xf>
    <xf numFmtId="164" fontId="0" fillId="0" borderId="1" xfId="0" applyNumberFormat="1" applyFont="1" applyAlignment="1">
      <alignment vertical="center"/>
    </xf>
    <xf numFmtId="0" fontId="1" fillId="0" borderId="1" xfId="0" applyFont="1" applyAlignment="1">
      <alignment vertical="center"/>
    </xf>
    <xf numFmtId="165" fontId="1" fillId="0" borderId="1" xfId="0" applyNumberFormat="1" applyFont="1" applyAlignment="1">
      <alignment vertical="center"/>
    </xf>
    <xf numFmtId="164" fontId="1" fillId="0" borderId="1" xfId="0" applyNumberFormat="1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134" customWidth="1" style="1"/>
    <col min="2" max="2" width="10" customWidth="1" style="2"/>
    <col min="3" max="3" width="10" customWidth="1" style="3"/>
    <col min="4" max="4" width="17.14" customWidth="1" style="3"/>
    <col min="5" max="5" width="20.57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</row>
    <row r="2" collapsed="1">
      <c t="s" r="A2" s="4">
        <v>5</v>
      </c>
    </row>
    <row r="3" outlineLevel="1">
      <c t="s" r="A3" s="1">
        <v>6</v>
      </c>
      <c r="B3" s="2">
        <v>9</v>
      </c>
      <c r="C3" s="3">
        <v>0.88</v>
      </c>
      <c r="D3" s="3">
        <v>7.92</v>
      </c>
      <c t="s" r="E3" s="1">
        <v>7</v>
      </c>
    </row>
    <row r="4" outlineLevel="1">
      <c t="s" r="A4" s="1">
        <v>8</v>
      </c>
      <c r="B4" s="2">
        <v>4</v>
      </c>
      <c r="C4" s="3">
        <v>1.55</v>
      </c>
      <c r="D4" s="3">
        <v>6.2</v>
      </c>
      <c t="s" r="E4" s="1">
        <v>7</v>
      </c>
    </row>
    <row r="5" outlineLevel="1">
      <c t="s" r="A5" s="1">
        <v>9</v>
      </c>
      <c r="B5" s="2">
        <v>5</v>
      </c>
      <c r="C5" s="3">
        <v>3.19</v>
      </c>
      <c r="D5" s="3">
        <v>15.95</v>
      </c>
      <c t="s" r="E5" s="1">
        <v>7</v>
      </c>
    </row>
    <row r="6" outlineLevel="1">
      <c r="D6" s="5">
        <f>SUBTOTAL(9,D3:D5)</f>
      </c>
    </row>
    <row r="7" collapsed="1">
      <c t="s" r="A7" s="4">
        <v>10</v>
      </c>
      <c r="B7" s="4"/>
      <c r="C7" s="4"/>
      <c r="D7" s="4"/>
      <c r="E7" s="4"/>
    </row>
    <row r="8" outlineLevel="1">
      <c t="s" r="A8" s="1">
        <v>11</v>
      </c>
      <c r="B8" s="2">
        <v>6</v>
      </c>
      <c r="C8" s="3">
        <v>0.63</v>
      </c>
      <c r="D8" s="3">
        <v>3.78</v>
      </c>
      <c t="s" r="E8" s="1">
        <v>7</v>
      </c>
    </row>
    <row r="9" outlineLevel="1">
      <c r="D9" s="5">
        <f>SUBTOTAL(9,D8:D8)</f>
      </c>
    </row>
    <row r="10" collapsed="1">
      <c t="s" r="A10" s="4">
        <v>12</v>
      </c>
      <c r="B10" s="4"/>
      <c r="C10" s="4"/>
      <c r="D10" s="4"/>
      <c r="E10" s="4"/>
    </row>
    <row r="11" outlineLevel="1">
      <c t="s" r="A11" s="1">
        <v>6</v>
      </c>
      <c r="B11" s="2">
        <v>2</v>
      </c>
      <c r="C11" s="3">
        <v>0.88</v>
      </c>
      <c r="D11" s="3">
        <v>1.76</v>
      </c>
      <c t="s" r="E11" s="1">
        <v>7</v>
      </c>
    </row>
    <row r="12" outlineLevel="1">
      <c r="D12" s="5">
        <f>SUBTOTAL(9,D11:D11)</f>
      </c>
    </row>
    <row r="13">
      <c r="D13" s="6">
        <f>CONCATENATE("Total: £",TEXT(SUBTOTAL(9,D3:D12), "#,##0.00"),"")</f>
      </c>
    </row>
  </sheetData>
  <autoFilter ref="A1:E13"/>
  <pageSetup fitToWidth="0" fitToHeight="0"/>
  <ignoredErrors>
    <ignoredError sqref="A1:E1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2026-10-14T14:16:54Z</dcterms:created>
  <dcterms:modified xsi:type="dcterms:W3CDTF">2026-10-14T14:16:54Z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20.2.6.0</vt:lpwstr>
  </property>
</Properties>
</file>